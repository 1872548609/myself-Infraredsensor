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c\Desktop\"/>
    </mc:Choice>
  </mc:AlternateContent>
  <xr:revisionPtr revIDLastSave="0" documentId="8_{0A0A0E70-CCA9-47C2-B854-5798DA985E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测试汇总" sheetId="1" r:id="rId1"/>
    <sheet name="待测产品测试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" i="2" l="1"/>
  <c r="E41" i="2"/>
  <c r="E40" i="2"/>
  <c r="E39" i="2"/>
  <c r="E38" i="2"/>
  <c r="E37" i="2"/>
  <c r="E36" i="2"/>
  <c r="E35" i="2"/>
  <c r="E34" i="2"/>
  <c r="E33" i="2"/>
  <c r="E32" i="2"/>
  <c r="E31" i="2"/>
  <c r="E30" i="2"/>
  <c r="E29" i="2"/>
</calcChain>
</file>

<file path=xl/sharedStrings.xml><?xml version="1.0" encoding="utf-8"?>
<sst xmlns="http://schemas.openxmlformats.org/spreadsheetml/2006/main" count="422" uniqueCount="171">
  <si>
    <t>序号</t>
  </si>
  <si>
    <t>产品/型号</t>
  </si>
  <si>
    <t>测试状态</t>
  </si>
  <si>
    <t>检测对象/条件</t>
  </si>
  <si>
    <t>距离调节方式</t>
  </si>
  <si>
    <t>最远检测距离(mm)</t>
  </si>
  <si>
    <t>最小稳定距离/近端盲区(mm)</t>
  </si>
  <si>
    <t>稳定不丢数转速(圈/s)</t>
  </si>
  <si>
    <t>稳定响应频率(Hz)</t>
  </si>
  <si>
    <t>出现丢数转速(圈/s)</t>
  </si>
  <si>
    <t>丢数频率(Hz)</t>
  </si>
  <si>
    <t>响应速度结论</t>
  </si>
  <si>
    <t>光干扰结果</t>
  </si>
  <si>
    <t>电磁干扰结果</t>
  </si>
  <si>
    <t>结构/外壳观察</t>
  </si>
  <si>
    <t>测试备注</t>
  </si>
  <si>
    <t>后续动作</t>
  </si>
  <si>
    <t>新款402A</t>
  </si>
  <si>
    <t>已完成</t>
  </si>
  <si>
    <t>100×100mm白纸；后续改为标准反射物</t>
  </si>
  <si>
    <t>电位器可调；不同放大版本差异明显</t>
  </si>
  <si>
    <t>未记录</t>
  </si>
  <si>
    <t>90Hz+稳定；小于105Hz</t>
  </si>
  <si>
    <t>补光灯100%时有干扰；约20cm开始检测到光并有输出</t>
  </si>
  <si>
    <t>无异常</t>
  </si>
  <si>
    <t>部分版本最远仅30–40mm；401及401A约30–40mm</t>
  </si>
  <si>
    <t>使用标准反射物复测</t>
  </si>
  <si>
    <t>华怡丰 LSD-W07NO（正面检测）</t>
  </si>
  <si>
    <t>100×100mm白纸</t>
  </si>
  <si>
    <t>20圈/s电机带不动</t>
  </si>
  <si>
    <t>225Hz+稳定；上限待更高转速装置复测</t>
  </si>
  <si>
    <t>有一定抗光能力；强光接近检测距离时红灯亮、输出抖动</t>
  </si>
  <si>
    <t>有2–3V偏差，未检测到干扰</t>
  </si>
  <si>
    <t>收发管扁平设计；收发间有黑色遮挡/腔室；滤光呈红紫色</t>
  </si>
  <si>
    <t>外壳滤光效果优于公模；公模硅胶安装易不到位，影响一致性</t>
  </si>
  <si>
    <t>更高转速平台测试上限</t>
  </si>
  <si>
    <t>公司现有产品 401-A</t>
  </si>
  <si>
    <t>现有测试物；建议补充标准反射物条件</t>
  </si>
  <si>
    <t>电位器可调</t>
  </si>
  <si>
    <t>最小稳定距离约6–7mm；约2mm近端盲区</t>
  </si>
  <si>
    <t>60Hz+稳定；小于75Hz</t>
  </si>
  <si>
    <t>补光灯100%时未观察到光干扰</t>
  </si>
  <si>
    <t>无明显干扰</t>
  </si>
  <si>
    <t>其他距离下未检测到近端盲区</t>
  </si>
  <si>
    <t>示波器补测输出信号及电源信号</t>
  </si>
  <si>
    <t>博亿精科-SPY401</t>
  </si>
  <si>
    <t>待测试</t>
  </si>
  <si>
    <t>按统一测试条件填写</t>
  </si>
  <si>
    <t>待确认</t>
  </si>
  <si>
    <t>待观察</t>
  </si>
  <si>
    <t>填写待测产品测试表</t>
  </si>
  <si>
    <t>回填本表</t>
  </si>
  <si>
    <t>精嘉科-EE-SPY401</t>
  </si>
  <si>
    <t>合熠</t>
  </si>
  <si>
    <t>数据待补充</t>
  </si>
  <si>
    <t>待补充</t>
  </si>
  <si>
    <t>补充数据后回填</t>
  </si>
  <si>
    <t>测试说明</t>
  </si>
  <si>
    <t>内容</t>
  </si>
  <si>
    <t>响应频率计算</t>
  </si>
  <si>
    <t>响应频率(Hz) = 转盘转速(圈/s) × 每圈有效检测次数。本次记录按15次/圈计算；实际测试请确认。</t>
  </si>
  <si>
    <t>统一测试条件</t>
  </si>
  <si>
    <t>填写内容</t>
  </si>
  <si>
    <t>电源电压(V)</t>
  </si>
  <si>
    <t>检测物</t>
  </si>
  <si>
    <t>100×100mm白纸；完成后建议用标准反射物复测</t>
  </si>
  <si>
    <t>标准反射物规格</t>
  </si>
  <si>
    <t>待填写</t>
  </si>
  <si>
    <t>每圈有效检测次数</t>
  </si>
  <si>
    <t>每个转速点测试圈数</t>
  </si>
  <si>
    <t>补光灯亮度</t>
  </si>
  <si>
    <t>100%</t>
  </si>
  <si>
    <t>环境光说明</t>
  </si>
  <si>
    <t>产品型号</t>
  </si>
  <si>
    <t>样品编号</t>
  </si>
  <si>
    <t>生产批次/版本</t>
  </si>
  <si>
    <t>测试人员</t>
  </si>
  <si>
    <t>测试日期</t>
  </si>
  <si>
    <t>外壳滤光观察</t>
  </si>
  <si>
    <t>收发管/内部结构观察</t>
  </si>
  <si>
    <t>其他备注</t>
  </si>
  <si>
    <t>说明</t>
  </si>
  <si>
    <t>两个产品在相同条件下测试，数据填写在下方各项目表格。</t>
  </si>
  <si>
    <t>测试点</t>
  </si>
  <si>
    <t>电位器/增益设定</t>
  </si>
  <si>
    <t>检测距离(mm)</t>
  </si>
  <si>
    <t>输出状态</t>
  </si>
  <si>
    <t>指示灯状态</t>
  </si>
  <si>
    <t>稳定性（持续观察）</t>
  </si>
  <si>
    <t>是否有近端盲区</t>
  </si>
  <si>
    <t>盲区距离(mm)</t>
  </si>
  <si>
    <t>判定</t>
  </si>
  <si>
    <t>备注</t>
  </si>
  <si>
    <t>最小稳定距离</t>
  </si>
  <si>
    <t>最小/当前</t>
  </si>
  <si>
    <t>待判定</t>
  </si>
  <si>
    <t>近端盲区检查</t>
  </si>
  <si>
    <t>中间距离</t>
  </si>
  <si>
    <t>中间/当前</t>
  </si>
  <si>
    <t>最大稳定距离</t>
  </si>
  <si>
    <t>最大/当前</t>
  </si>
  <si>
    <t>标准反射物复测（可选）</t>
  </si>
  <si>
    <t>当前</t>
  </si>
  <si>
    <t>转盘转速(圈/s)</t>
  </si>
  <si>
    <t>计算频率(Hz)</t>
  </si>
  <si>
    <t>测试圈数</t>
  </si>
  <si>
    <t>实际计数</t>
  </si>
  <si>
    <t>是否丢数</t>
  </si>
  <si>
    <t>输出波形/指示灯观察</t>
  </si>
  <si>
    <t>稳定性结论</t>
  </si>
  <si>
    <t>工况</t>
  </si>
  <si>
    <t>补光灯距离/角度</t>
  </si>
  <si>
    <t>传感器与检测物距离(mm)</t>
  </si>
  <si>
    <t>是否误检</t>
  </si>
  <si>
    <t>是否抖动</t>
  </si>
  <si>
    <t>无补光灯基准</t>
  </si>
  <si>
    <t>无</t>
  </si>
  <si>
    <t>补光灯远距离</t>
  </si>
  <si>
    <t>50cm / 正面</t>
  </si>
  <si>
    <t>补光灯中距离</t>
  </si>
  <si>
    <t>30cm / 正面</t>
  </si>
  <si>
    <t>补光灯近距离</t>
  </si>
  <si>
    <t>20cm / 正面</t>
  </si>
  <si>
    <t>强光接近检测距离</t>
  </si>
  <si>
    <t>按实际记录</t>
  </si>
  <si>
    <t>干扰源/工况</t>
  </si>
  <si>
    <t>干扰距离/位置</t>
  </si>
  <si>
    <t>电源电压变化(V)</t>
  </si>
  <si>
    <t>输出状态变化</t>
  </si>
  <si>
    <t>指示灯变化</t>
  </si>
  <si>
    <t>是否误动作</t>
  </si>
  <si>
    <t>示波器观察（输出/电源）</t>
  </si>
  <si>
    <t>无干扰基准</t>
  </si>
  <si>
    <t>—</t>
  </si>
  <si>
    <t>待补测</t>
  </si>
  <si>
    <t>电机启动/停止</t>
  </si>
  <si>
    <t>继电器/电磁阀动作</t>
  </si>
  <si>
    <t>开关电源/邻近线束</t>
  </si>
  <si>
    <t>ESD/其他干扰（如有）</t>
  </si>
  <si>
    <t>最大稳定距离(mm)</t>
  </si>
  <si>
    <t>最高稳定频率(Hz)</t>
  </si>
  <si>
    <t>首次丢数频率(Hz)</t>
  </si>
  <si>
    <t>光干扰结论</t>
  </si>
  <si>
    <t>电磁干扰结论</t>
  </si>
  <si>
    <t>结构/滤光结论</t>
  </si>
  <si>
    <t>优势</t>
  </si>
  <si>
    <t>不足</t>
  </si>
  <si>
    <t>综合结论</t>
  </si>
  <si>
    <t>1米</t>
    <phoneticPr fontId="3" type="noConversion"/>
  </si>
  <si>
    <t>2米</t>
    <phoneticPr fontId="3" type="noConversion"/>
  </si>
  <si>
    <t>3米</t>
    <phoneticPr fontId="3" type="noConversion"/>
  </si>
  <si>
    <t>4米</t>
    <phoneticPr fontId="3" type="noConversion"/>
  </si>
  <si>
    <t>5米</t>
    <phoneticPr fontId="3" type="noConversion"/>
  </si>
  <si>
    <t>6米</t>
    <phoneticPr fontId="3" type="noConversion"/>
  </si>
  <si>
    <t>7米</t>
    <phoneticPr fontId="3" type="noConversion"/>
  </si>
  <si>
    <t>距离测试（米）</t>
    <phoneticPr fontId="3" type="noConversion"/>
  </si>
  <si>
    <t>响应速度（HZ）</t>
    <phoneticPr fontId="3" type="noConversion"/>
  </si>
  <si>
    <r>
      <rPr>
        <sz val="11"/>
        <rFont val="微软雅黑"/>
        <family val="2"/>
        <charset val="134"/>
      </rPr>
      <t>距离测试</t>
    </r>
    <r>
      <rPr>
        <sz val="11"/>
        <rFont val="Carlito"/>
      </rPr>
      <t>(米)</t>
    </r>
    <phoneticPr fontId="3" type="noConversion"/>
  </si>
  <si>
    <r>
      <rPr>
        <sz val="11"/>
        <rFont val="微软雅黑"/>
        <family val="2"/>
        <charset val="134"/>
      </rPr>
      <t>响应速度</t>
    </r>
    <r>
      <rPr>
        <sz val="11"/>
        <rFont val="Carlito"/>
      </rPr>
      <t>（HZ）</t>
    </r>
    <phoneticPr fontId="3" type="noConversion"/>
  </si>
  <si>
    <t>光干扰</t>
    <phoneticPr fontId="3" type="noConversion"/>
  </si>
  <si>
    <r>
      <rPr>
        <sz val="11"/>
        <rFont val="Carlito"/>
      </rPr>
      <t>光干扰</t>
    </r>
    <phoneticPr fontId="3" type="noConversion"/>
  </si>
  <si>
    <t>光干扰测试说明</t>
    <phoneticPr fontId="3" type="noConversion"/>
  </si>
  <si>
    <t>光干扰源是什么？</t>
    <phoneticPr fontId="3" type="noConversion"/>
  </si>
  <si>
    <t>电磁干扰</t>
    <phoneticPr fontId="3" type="noConversion"/>
  </si>
  <si>
    <r>
      <rPr>
        <sz val="11"/>
        <rFont val="Carlito"/>
      </rPr>
      <t>电磁干扰</t>
    </r>
    <phoneticPr fontId="3" type="noConversion"/>
  </si>
  <si>
    <r>
      <rPr>
        <sz val="11"/>
        <rFont val="Carlito"/>
      </rPr>
      <t>电磁干扰说明</t>
    </r>
    <phoneticPr fontId="3" type="noConversion"/>
  </si>
  <si>
    <t>电磁干扰源是什么？</t>
    <phoneticPr fontId="3" type="noConversion"/>
  </si>
  <si>
    <t>如何测试？</t>
    <phoneticPr fontId="3" type="noConversion"/>
  </si>
  <si>
    <t>完成时间</t>
    <phoneticPr fontId="3" type="noConversion"/>
  </si>
  <si>
    <t>开始时间</t>
    <phoneticPr fontId="3" type="noConversion"/>
  </si>
  <si>
    <r>
      <rPr>
        <sz val="11"/>
        <rFont val="Carlito"/>
      </rPr>
      <t>开始时间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</si>
</sst>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Carlito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1" xfId="1" applyFont="1" applyBorder="1" applyAlignment="1">
      <alignment wrapText="1"/>
    </xf>
    <xf numFmtId="0" fontId="1" fillId="0" borderId="1" xfId="1" applyFont="1" applyBorder="1" applyAlignment="1">
      <alignment wrapText="1"/>
    </xf>
    <xf numFmtId="0" fontId="4" fillId="0" borderId="0" xfId="0" applyFont="1"/>
    <xf numFmtId="0" fontId="5" fillId="0" borderId="0" xfId="0" applyFont="1"/>
    <xf numFmtId="0" fontId="0" fillId="2" borderId="0" xfId="0" applyFill="1"/>
    <xf numFmtId="0" fontId="4" fillId="3" borderId="0" xfId="0" applyFont="1" applyFill="1"/>
    <xf numFmtId="0" fontId="0" fillId="3" borderId="0" xfId="0" applyFill="1"/>
    <xf numFmtId="0" fontId="5" fillId="3" borderId="0" xfId="0" applyFont="1" applyFill="1"/>
    <xf numFmtId="0" fontId="4" fillId="4" borderId="0" xfId="0" applyFont="1" applyFill="1"/>
    <xf numFmtId="0" fontId="0" fillId="4" borderId="0" xfId="0" applyFill="1"/>
    <xf numFmtId="0" fontId="5" fillId="4" borderId="0" xfId="0" applyFont="1" applyFill="1"/>
    <xf numFmtId="0" fontId="0" fillId="0" borderId="2" xfId="1" applyFont="1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2" borderId="1" xfId="1" applyFont="1" applyFill="1" applyBorder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>
      <selection activeCell="Q4" sqref="Q4"/>
    </sheetView>
  </sheetViews>
  <sheetFormatPr defaultRowHeight="14.25"/>
  <cols>
    <col min="1" max="1" width="18" customWidth="1"/>
    <col min="2" max="2" width="22" customWidth="1"/>
    <col min="3" max="3" width="20" customWidth="1"/>
    <col min="4" max="5" width="18" customWidth="1"/>
    <col min="6" max="6" width="17.75" bestFit="1" customWidth="1"/>
    <col min="7" max="7" width="24.5" customWidth="1"/>
    <col min="8" max="8" width="20" customWidth="1"/>
    <col min="9" max="10" width="18" customWidth="1"/>
    <col min="11" max="15" width="20" customWidth="1"/>
    <col min="16" max="16" width="24" customWidth="1"/>
    <col min="17" max="17" width="22" customWidth="1"/>
  </cols>
  <sheetData>
    <row r="1" spans="1:17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42.75">
      <c r="A2" s="1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70</v>
      </c>
      <c r="G2" s="15" t="s">
        <v>21</v>
      </c>
      <c r="H2" s="1">
        <v>6</v>
      </c>
      <c r="I2" s="1">
        <v>90</v>
      </c>
      <c r="J2" s="1">
        <v>7</v>
      </c>
      <c r="K2" s="1">
        <v>105</v>
      </c>
      <c r="L2" s="1" t="s">
        <v>22</v>
      </c>
      <c r="M2" s="1" t="s">
        <v>23</v>
      </c>
      <c r="N2" s="1" t="s">
        <v>24</v>
      </c>
      <c r="O2" s="15" t="s">
        <v>21</v>
      </c>
      <c r="P2" s="1" t="s">
        <v>25</v>
      </c>
      <c r="Q2" s="15" t="s">
        <v>26</v>
      </c>
    </row>
    <row r="3" spans="1:17" ht="42.75">
      <c r="A3" s="1">
        <v>2</v>
      </c>
      <c r="B3" s="1" t="s">
        <v>27</v>
      </c>
      <c r="C3" s="1" t="s">
        <v>18</v>
      </c>
      <c r="D3" s="1" t="s">
        <v>28</v>
      </c>
      <c r="E3" s="15" t="s">
        <v>21</v>
      </c>
      <c r="F3" s="1">
        <v>15</v>
      </c>
      <c r="G3" s="15" t="s">
        <v>21</v>
      </c>
      <c r="H3" s="1">
        <v>15</v>
      </c>
      <c r="I3" s="1">
        <v>225</v>
      </c>
      <c r="J3" s="1" t="s">
        <v>29</v>
      </c>
      <c r="K3" s="15" t="s">
        <v>21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5" t="s">
        <v>35</v>
      </c>
    </row>
    <row r="4" spans="1:17" ht="28.5">
      <c r="A4" s="1">
        <v>3</v>
      </c>
      <c r="B4" s="1" t="s">
        <v>36</v>
      </c>
      <c r="C4" s="1" t="s">
        <v>18</v>
      </c>
      <c r="D4" s="1" t="s">
        <v>37</v>
      </c>
      <c r="E4" s="1" t="s">
        <v>38</v>
      </c>
      <c r="F4" s="1">
        <v>45</v>
      </c>
      <c r="G4" s="1" t="s">
        <v>39</v>
      </c>
      <c r="H4" s="1">
        <v>4</v>
      </c>
      <c r="I4" s="1">
        <v>60</v>
      </c>
      <c r="J4" s="1">
        <v>5</v>
      </c>
      <c r="K4" s="1">
        <v>75</v>
      </c>
      <c r="L4" s="1" t="s">
        <v>40</v>
      </c>
      <c r="M4" s="1" t="s">
        <v>41</v>
      </c>
      <c r="N4" s="1" t="s">
        <v>42</v>
      </c>
      <c r="O4" s="15" t="s">
        <v>21</v>
      </c>
      <c r="P4" s="1" t="s">
        <v>43</v>
      </c>
      <c r="Q4" s="15" t="s">
        <v>44</v>
      </c>
    </row>
    <row r="5" spans="1:17" ht="20.100000000000001" customHeight="1">
      <c r="A5" s="1">
        <v>4</v>
      </c>
      <c r="B5" s="1" t="s">
        <v>45</v>
      </c>
      <c r="C5" s="1" t="s">
        <v>46</v>
      </c>
      <c r="D5" s="1" t="s">
        <v>47</v>
      </c>
      <c r="E5" s="1" t="s">
        <v>48</v>
      </c>
      <c r="F5" s="1"/>
      <c r="G5" s="1"/>
      <c r="H5" s="1"/>
      <c r="I5" s="1"/>
      <c r="J5" s="1"/>
      <c r="K5" s="1"/>
      <c r="L5" s="1" t="s">
        <v>46</v>
      </c>
      <c r="M5" s="1" t="s">
        <v>46</v>
      </c>
      <c r="N5" s="1" t="s">
        <v>46</v>
      </c>
      <c r="O5" s="1" t="s">
        <v>49</v>
      </c>
      <c r="P5" s="1" t="s">
        <v>50</v>
      </c>
      <c r="Q5" s="1" t="s">
        <v>51</v>
      </c>
    </row>
    <row r="6" spans="1:17" ht="20.100000000000001" customHeight="1">
      <c r="A6" s="1">
        <v>5</v>
      </c>
      <c r="B6" s="1" t="s">
        <v>52</v>
      </c>
      <c r="C6" s="1" t="s">
        <v>46</v>
      </c>
      <c r="D6" s="1" t="s">
        <v>47</v>
      </c>
      <c r="E6" s="1" t="s">
        <v>48</v>
      </c>
      <c r="F6" s="1"/>
      <c r="G6" s="1"/>
      <c r="H6" s="1"/>
      <c r="I6" s="1"/>
      <c r="J6" s="1"/>
      <c r="K6" s="1"/>
      <c r="L6" s="1" t="s">
        <v>46</v>
      </c>
      <c r="M6" s="1" t="s">
        <v>46</v>
      </c>
      <c r="N6" s="1" t="s">
        <v>46</v>
      </c>
      <c r="O6" s="1" t="s">
        <v>49</v>
      </c>
      <c r="P6" s="1" t="s">
        <v>50</v>
      </c>
      <c r="Q6" s="1" t="s">
        <v>51</v>
      </c>
    </row>
    <row r="7" spans="1:17" ht="20.100000000000001" customHeight="1">
      <c r="A7" s="1">
        <v>6</v>
      </c>
      <c r="B7" s="1" t="s">
        <v>53</v>
      </c>
      <c r="C7" s="1" t="s">
        <v>54</v>
      </c>
      <c r="D7" s="1" t="s">
        <v>54</v>
      </c>
      <c r="E7" s="1" t="s">
        <v>48</v>
      </c>
      <c r="F7" s="1"/>
      <c r="G7" s="1"/>
      <c r="H7" s="1"/>
      <c r="I7" s="1"/>
      <c r="J7" s="1"/>
      <c r="K7" s="1"/>
      <c r="L7" s="1" t="s">
        <v>54</v>
      </c>
      <c r="M7" s="1" t="s">
        <v>54</v>
      </c>
      <c r="N7" s="1" t="s">
        <v>54</v>
      </c>
      <c r="O7" s="1" t="s">
        <v>49</v>
      </c>
      <c r="P7" s="1" t="s">
        <v>55</v>
      </c>
      <c r="Q7" s="1" t="s">
        <v>56</v>
      </c>
    </row>
    <row r="8" spans="1:17" ht="20.100000000000001" customHeight="1"/>
    <row r="9" spans="1:17" ht="15">
      <c r="A9" s="2" t="s">
        <v>57</v>
      </c>
      <c r="B9" s="2" t="s">
        <v>58</v>
      </c>
    </row>
    <row r="10" spans="1:17" ht="57">
      <c r="A10" s="1" t="s">
        <v>59</v>
      </c>
      <c r="B10" s="1" t="s">
        <v>60</v>
      </c>
    </row>
    <row r="11" spans="1:17" ht="15" thickBot="1"/>
    <row r="12" spans="1:17" ht="15" thickBot="1">
      <c r="A12" s="12" t="s">
        <v>45</v>
      </c>
      <c r="B12" s="13"/>
      <c r="C12" s="13"/>
      <c r="D12" s="13"/>
      <c r="E12" s="13"/>
      <c r="F12" s="13"/>
      <c r="G12" s="13"/>
      <c r="H12" s="14"/>
    </row>
    <row r="13" spans="1:17" ht="16.5">
      <c r="A13" s="3" t="s">
        <v>155</v>
      </c>
      <c r="B13" t="s">
        <v>148</v>
      </c>
      <c r="C13" t="s">
        <v>149</v>
      </c>
      <c r="D13" t="s">
        <v>150</v>
      </c>
      <c r="E13" t="s">
        <v>151</v>
      </c>
      <c r="F13" t="s">
        <v>152</v>
      </c>
      <c r="G13" t="s">
        <v>153</v>
      </c>
      <c r="H13" t="s">
        <v>154</v>
      </c>
    </row>
    <row r="14" spans="1:17" ht="16.5">
      <c r="A14" s="3" t="s">
        <v>156</v>
      </c>
    </row>
    <row r="15" spans="1:17" ht="16.5">
      <c r="A15" s="3" t="s">
        <v>159</v>
      </c>
    </row>
    <row r="16" spans="1:17" ht="16.5">
      <c r="A16" s="3" t="s">
        <v>163</v>
      </c>
    </row>
    <row r="17" spans="1:8" ht="16.5">
      <c r="A17" s="9" t="s">
        <v>161</v>
      </c>
      <c r="B17" s="9" t="s">
        <v>162</v>
      </c>
      <c r="C17" s="10" t="s">
        <v>167</v>
      </c>
    </row>
    <row r="18" spans="1:8" ht="16.5">
      <c r="A18" s="9" t="s">
        <v>163</v>
      </c>
      <c r="B18" s="10" t="s">
        <v>166</v>
      </c>
      <c r="C18" s="10" t="s">
        <v>167</v>
      </c>
    </row>
    <row r="19" spans="1:8" ht="16.5">
      <c r="A19" s="6" t="s">
        <v>169</v>
      </c>
      <c r="B19" s="7"/>
      <c r="C19" s="5" t="s">
        <v>168</v>
      </c>
      <c r="D19" s="5"/>
    </row>
    <row r="21" spans="1:8" ht="15" thickBot="1"/>
    <row r="22" spans="1:8" ht="15" thickBot="1">
      <c r="A22" s="12" t="s">
        <v>52</v>
      </c>
      <c r="B22" s="13"/>
      <c r="C22" s="13"/>
      <c r="D22" s="13"/>
      <c r="E22" s="13"/>
      <c r="F22" s="13"/>
      <c r="G22" s="13"/>
      <c r="H22" s="14"/>
    </row>
    <row r="23" spans="1:8" ht="16.5">
      <c r="A23" s="4" t="s">
        <v>157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154</v>
      </c>
    </row>
    <row r="24" spans="1:8" ht="16.5">
      <c r="A24" s="4" t="s">
        <v>158</v>
      </c>
    </row>
    <row r="25" spans="1:8">
      <c r="A25" s="4" t="s">
        <v>160</v>
      </c>
    </row>
    <row r="26" spans="1:8">
      <c r="A26" s="4" t="s">
        <v>164</v>
      </c>
    </row>
    <row r="27" spans="1:8" ht="16.5">
      <c r="A27" s="9" t="s">
        <v>161</v>
      </c>
      <c r="B27" s="9" t="s">
        <v>162</v>
      </c>
      <c r="C27" s="10" t="s">
        <v>167</v>
      </c>
    </row>
    <row r="28" spans="1:8">
      <c r="A28" s="11" t="s">
        <v>165</v>
      </c>
      <c r="B28" s="10" t="s">
        <v>166</v>
      </c>
      <c r="C28" s="10" t="s">
        <v>167</v>
      </c>
    </row>
    <row r="29" spans="1:8">
      <c r="A29" s="8" t="s">
        <v>170</v>
      </c>
      <c r="B29" s="7"/>
      <c r="C29" s="5" t="s">
        <v>168</v>
      </c>
      <c r="D29" s="5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3"/>
  <sheetViews>
    <sheetView workbookViewId="0"/>
  </sheetViews>
  <sheetFormatPr defaultRowHeight="14.25"/>
  <cols>
    <col min="1" max="4" width="18" customWidth="1"/>
    <col min="5" max="6" width="16" customWidth="1"/>
    <col min="7" max="8" width="22" customWidth="1"/>
    <col min="9" max="9" width="20" customWidth="1"/>
    <col min="10" max="10" width="18" customWidth="1"/>
    <col min="11" max="11" width="16" customWidth="1"/>
    <col min="12" max="12" width="20" customWidth="1"/>
  </cols>
  <sheetData>
    <row r="1" spans="1:11" ht="20.100000000000001" customHeight="1">
      <c r="A1" s="2" t="s">
        <v>61</v>
      </c>
      <c r="B1" s="2" t="s">
        <v>62</v>
      </c>
    </row>
    <row r="2" spans="1:11" ht="20.100000000000001" customHeight="1">
      <c r="A2" s="1" t="s">
        <v>63</v>
      </c>
      <c r="B2" s="1">
        <v>24</v>
      </c>
    </row>
    <row r="3" spans="1:11" ht="20.100000000000001" customHeight="1">
      <c r="A3" s="1" t="s">
        <v>64</v>
      </c>
      <c r="B3" s="1" t="s">
        <v>65</v>
      </c>
    </row>
    <row r="4" spans="1:11" ht="20.100000000000001" customHeight="1">
      <c r="A4" s="1" t="s">
        <v>66</v>
      </c>
      <c r="B4" s="1" t="s">
        <v>67</v>
      </c>
    </row>
    <row r="5" spans="1:11" ht="20.100000000000001" customHeight="1">
      <c r="A5" s="1" t="s">
        <v>68</v>
      </c>
      <c r="B5" s="1">
        <v>15</v>
      </c>
    </row>
    <row r="6" spans="1:11" ht="20.100000000000001" customHeight="1">
      <c r="A6" s="1" t="s">
        <v>69</v>
      </c>
      <c r="B6" s="1">
        <v>2000</v>
      </c>
    </row>
    <row r="7" spans="1:11" ht="20.100000000000001" customHeight="1">
      <c r="A7" s="1" t="s">
        <v>70</v>
      </c>
      <c r="B7" s="1" t="s">
        <v>71</v>
      </c>
    </row>
    <row r="8" spans="1:11" ht="20.100000000000001" customHeight="1">
      <c r="A8" s="1" t="s">
        <v>72</v>
      </c>
      <c r="B8" s="1" t="s">
        <v>67</v>
      </c>
    </row>
    <row r="9" spans="1:11" ht="20.100000000000001" customHeight="1"/>
    <row r="10" spans="1:11" ht="20.100000000000001" customHeight="1">
      <c r="A10" s="2" t="s">
        <v>73</v>
      </c>
      <c r="B10" s="2" t="s">
        <v>74</v>
      </c>
      <c r="C10" s="2" t="s">
        <v>75</v>
      </c>
      <c r="D10" s="2" t="s">
        <v>76</v>
      </c>
      <c r="E10" s="2" t="s">
        <v>77</v>
      </c>
      <c r="F10" s="2" t="s">
        <v>78</v>
      </c>
      <c r="G10" s="2" t="s">
        <v>79</v>
      </c>
      <c r="H10" s="2" t="s">
        <v>80</v>
      </c>
    </row>
    <row r="11" spans="1:11" ht="20.100000000000001" customHeight="1">
      <c r="A11" s="1" t="s">
        <v>45</v>
      </c>
      <c r="B11" s="1" t="s">
        <v>67</v>
      </c>
      <c r="C11" s="1" t="s">
        <v>67</v>
      </c>
      <c r="D11" s="1" t="s">
        <v>67</v>
      </c>
      <c r="E11" s="1" t="s">
        <v>67</v>
      </c>
      <c r="F11" s="1" t="s">
        <v>67</v>
      </c>
      <c r="G11" s="1" t="s">
        <v>67</v>
      </c>
      <c r="H11" s="1" t="s">
        <v>67</v>
      </c>
    </row>
    <row r="12" spans="1:11" ht="20.100000000000001" customHeight="1">
      <c r="A12" s="1" t="s">
        <v>52</v>
      </c>
      <c r="B12" s="1" t="s">
        <v>67</v>
      </c>
      <c r="C12" s="1" t="s">
        <v>67</v>
      </c>
      <c r="D12" s="1" t="s">
        <v>67</v>
      </c>
      <c r="E12" s="1" t="s">
        <v>67</v>
      </c>
      <c r="F12" s="1" t="s">
        <v>67</v>
      </c>
      <c r="G12" s="1" t="s">
        <v>67</v>
      </c>
      <c r="H12" s="1" t="s">
        <v>67</v>
      </c>
    </row>
    <row r="13" spans="1:11" ht="20.100000000000001" customHeight="1">
      <c r="A13" s="1" t="s">
        <v>81</v>
      </c>
      <c r="B13" s="1" t="s">
        <v>82</v>
      </c>
      <c r="C13" s="1"/>
      <c r="D13" s="1"/>
      <c r="E13" s="1"/>
      <c r="F13" s="1"/>
      <c r="G13" s="1"/>
      <c r="H13" s="1"/>
    </row>
    <row r="14" spans="1:11" ht="20.100000000000001" customHeight="1"/>
    <row r="15" spans="1:11" ht="20.100000000000001" customHeight="1">
      <c r="A15" s="2" t="s">
        <v>73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87</v>
      </c>
      <c r="G15" s="2" t="s">
        <v>88</v>
      </c>
      <c r="H15" s="2" t="s">
        <v>89</v>
      </c>
      <c r="I15" s="2" t="s">
        <v>90</v>
      </c>
      <c r="J15" s="2" t="s">
        <v>91</v>
      </c>
      <c r="K15" s="2" t="s">
        <v>92</v>
      </c>
    </row>
    <row r="16" spans="1:11" ht="20.100000000000001" customHeight="1">
      <c r="A16" s="1" t="s">
        <v>45</v>
      </c>
      <c r="B16" s="1" t="s">
        <v>93</v>
      </c>
      <c r="C16" s="1" t="s">
        <v>94</v>
      </c>
      <c r="D16" s="1"/>
      <c r="E16" s="1"/>
      <c r="F16" s="1"/>
      <c r="G16" s="1"/>
      <c r="H16" s="1"/>
      <c r="I16" s="1"/>
      <c r="J16" s="1" t="s">
        <v>95</v>
      </c>
      <c r="K16" s="1"/>
    </row>
    <row r="17" spans="1:12" ht="20.100000000000001" customHeight="1">
      <c r="A17" s="1" t="s">
        <v>45</v>
      </c>
      <c r="B17" s="1" t="s">
        <v>96</v>
      </c>
      <c r="C17" s="1" t="s">
        <v>94</v>
      </c>
      <c r="D17" s="1"/>
      <c r="E17" s="1"/>
      <c r="F17" s="1"/>
      <c r="G17" s="1"/>
      <c r="H17" s="1"/>
      <c r="I17" s="1"/>
      <c r="J17" s="1" t="s">
        <v>95</v>
      </c>
      <c r="K17" s="1"/>
    </row>
    <row r="18" spans="1:12" ht="20.100000000000001" customHeight="1">
      <c r="A18" s="1" t="s">
        <v>45</v>
      </c>
      <c r="B18" s="1" t="s">
        <v>97</v>
      </c>
      <c r="C18" s="1" t="s">
        <v>98</v>
      </c>
      <c r="D18" s="1"/>
      <c r="E18" s="1"/>
      <c r="F18" s="1"/>
      <c r="G18" s="1"/>
      <c r="H18" s="1"/>
      <c r="I18" s="1"/>
      <c r="J18" s="1" t="s">
        <v>95</v>
      </c>
      <c r="K18" s="1"/>
    </row>
    <row r="19" spans="1:12" ht="20.100000000000001" customHeight="1">
      <c r="A19" s="1" t="s">
        <v>45</v>
      </c>
      <c r="B19" s="1" t="s">
        <v>99</v>
      </c>
      <c r="C19" s="1" t="s">
        <v>100</v>
      </c>
      <c r="D19" s="1"/>
      <c r="E19" s="1"/>
      <c r="F19" s="1"/>
      <c r="G19" s="1"/>
      <c r="H19" s="1"/>
      <c r="I19" s="1"/>
      <c r="J19" s="1" t="s">
        <v>95</v>
      </c>
      <c r="K19" s="1"/>
    </row>
    <row r="20" spans="1:12" ht="20.100000000000001" customHeight="1">
      <c r="A20" s="1" t="s">
        <v>45</v>
      </c>
      <c r="B20" s="1" t="s">
        <v>101</v>
      </c>
      <c r="C20" s="1" t="s">
        <v>102</v>
      </c>
      <c r="D20" s="1"/>
      <c r="E20" s="1"/>
      <c r="F20" s="1"/>
      <c r="G20" s="1"/>
      <c r="H20" s="1"/>
      <c r="I20" s="1"/>
      <c r="J20" s="1" t="s">
        <v>95</v>
      </c>
      <c r="K20" s="1"/>
    </row>
    <row r="21" spans="1:12" ht="20.100000000000001" customHeight="1">
      <c r="A21" s="1" t="s">
        <v>52</v>
      </c>
      <c r="B21" s="1" t="s">
        <v>93</v>
      </c>
      <c r="C21" s="1" t="s">
        <v>94</v>
      </c>
      <c r="D21" s="1"/>
      <c r="E21" s="1"/>
      <c r="F21" s="1"/>
      <c r="G21" s="1"/>
      <c r="H21" s="1"/>
      <c r="I21" s="1"/>
      <c r="J21" s="1" t="s">
        <v>95</v>
      </c>
      <c r="K21" s="1"/>
    </row>
    <row r="22" spans="1:12" ht="20.100000000000001" customHeight="1">
      <c r="A22" s="1" t="s">
        <v>52</v>
      </c>
      <c r="B22" s="1" t="s">
        <v>96</v>
      </c>
      <c r="C22" s="1" t="s">
        <v>94</v>
      </c>
      <c r="D22" s="1"/>
      <c r="E22" s="1"/>
      <c r="F22" s="1"/>
      <c r="G22" s="1"/>
      <c r="H22" s="1"/>
      <c r="I22" s="1"/>
      <c r="J22" s="1" t="s">
        <v>95</v>
      </c>
      <c r="K22" s="1"/>
    </row>
    <row r="23" spans="1:12" ht="20.100000000000001" customHeight="1">
      <c r="A23" s="1" t="s">
        <v>52</v>
      </c>
      <c r="B23" s="1" t="s">
        <v>97</v>
      </c>
      <c r="C23" s="1" t="s">
        <v>98</v>
      </c>
      <c r="D23" s="1"/>
      <c r="E23" s="1"/>
      <c r="F23" s="1"/>
      <c r="G23" s="1"/>
      <c r="H23" s="1"/>
      <c r="I23" s="1"/>
      <c r="J23" s="1" t="s">
        <v>95</v>
      </c>
      <c r="K23" s="1"/>
    </row>
    <row r="24" spans="1:12" ht="20.100000000000001" customHeight="1">
      <c r="A24" s="1" t="s">
        <v>52</v>
      </c>
      <c r="B24" s="1" t="s">
        <v>99</v>
      </c>
      <c r="C24" s="1" t="s">
        <v>100</v>
      </c>
      <c r="D24" s="1"/>
      <c r="E24" s="1"/>
      <c r="F24" s="1"/>
      <c r="G24" s="1"/>
      <c r="H24" s="1"/>
      <c r="I24" s="1"/>
      <c r="J24" s="1" t="s">
        <v>95</v>
      </c>
      <c r="K24" s="1"/>
    </row>
    <row r="25" spans="1:12" ht="20.100000000000001" customHeight="1">
      <c r="A25" s="1" t="s">
        <v>52</v>
      </c>
      <c r="B25" s="1" t="s">
        <v>101</v>
      </c>
      <c r="C25" s="1" t="s">
        <v>102</v>
      </c>
      <c r="D25" s="1"/>
      <c r="E25" s="1"/>
      <c r="F25" s="1"/>
      <c r="G25" s="1"/>
      <c r="H25" s="1"/>
      <c r="I25" s="1"/>
      <c r="J25" s="1" t="s">
        <v>95</v>
      </c>
      <c r="K25" s="1"/>
    </row>
    <row r="26" spans="1:12" ht="20.100000000000001" customHeight="1"/>
    <row r="27" spans="1:12" ht="20.100000000000001" customHeight="1"/>
    <row r="28" spans="1:12" ht="20.100000000000001" customHeight="1">
      <c r="A28" s="2" t="s">
        <v>73</v>
      </c>
      <c r="B28" s="2" t="s">
        <v>0</v>
      </c>
      <c r="C28" s="2" t="s">
        <v>103</v>
      </c>
      <c r="D28" s="2" t="s">
        <v>68</v>
      </c>
      <c r="E28" s="2" t="s">
        <v>104</v>
      </c>
      <c r="F28" s="2" t="s">
        <v>105</v>
      </c>
      <c r="G28" s="2" t="s">
        <v>106</v>
      </c>
      <c r="H28" s="2" t="s">
        <v>107</v>
      </c>
      <c r="I28" s="2" t="s">
        <v>108</v>
      </c>
      <c r="J28" s="2" t="s">
        <v>109</v>
      </c>
      <c r="K28" s="2" t="s">
        <v>91</v>
      </c>
      <c r="L28" s="2" t="s">
        <v>92</v>
      </c>
    </row>
    <row r="29" spans="1:12" ht="20.100000000000001" customHeight="1">
      <c r="A29" s="1" t="s">
        <v>45</v>
      </c>
      <c r="B29" s="1">
        <v>1</v>
      </c>
      <c r="C29" s="1">
        <v>4</v>
      </c>
      <c r="D29" s="1">
        <v>15</v>
      </c>
      <c r="E29" s="1">
        <f t="shared" ref="E29:E42" si="0">C29*D29</f>
        <v>60</v>
      </c>
      <c r="F29" s="1">
        <v>2000</v>
      </c>
      <c r="G29" s="1"/>
      <c r="H29" s="1" t="s">
        <v>67</v>
      </c>
      <c r="I29" s="1"/>
      <c r="J29" s="1"/>
      <c r="K29" s="1" t="s">
        <v>95</v>
      </c>
      <c r="L29" s="1"/>
    </row>
    <row r="30" spans="1:12" ht="20.100000000000001" customHeight="1">
      <c r="A30" s="1" t="s">
        <v>45</v>
      </c>
      <c r="B30" s="1">
        <v>2</v>
      </c>
      <c r="C30" s="1">
        <v>5</v>
      </c>
      <c r="D30" s="1">
        <v>15</v>
      </c>
      <c r="E30" s="1">
        <f t="shared" si="0"/>
        <v>75</v>
      </c>
      <c r="F30" s="1">
        <v>2000</v>
      </c>
      <c r="G30" s="1"/>
      <c r="H30" s="1" t="s">
        <v>67</v>
      </c>
      <c r="I30" s="1"/>
      <c r="J30" s="1"/>
      <c r="K30" s="1" t="s">
        <v>95</v>
      </c>
      <c r="L30" s="1"/>
    </row>
    <row r="31" spans="1:12" ht="20.100000000000001" customHeight="1">
      <c r="A31" s="1" t="s">
        <v>45</v>
      </c>
      <c r="B31" s="1">
        <v>3</v>
      </c>
      <c r="C31" s="1">
        <v>6</v>
      </c>
      <c r="D31" s="1">
        <v>15</v>
      </c>
      <c r="E31" s="1">
        <f t="shared" si="0"/>
        <v>90</v>
      </c>
      <c r="F31" s="1">
        <v>2000</v>
      </c>
      <c r="G31" s="1"/>
      <c r="H31" s="1" t="s">
        <v>67</v>
      </c>
      <c r="I31" s="1"/>
      <c r="J31" s="1"/>
      <c r="K31" s="1" t="s">
        <v>95</v>
      </c>
      <c r="L31" s="1"/>
    </row>
    <row r="32" spans="1:12" ht="20.100000000000001" customHeight="1">
      <c r="A32" s="1" t="s">
        <v>45</v>
      </c>
      <c r="B32" s="1">
        <v>4</v>
      </c>
      <c r="C32" s="1">
        <v>7</v>
      </c>
      <c r="D32" s="1">
        <v>15</v>
      </c>
      <c r="E32" s="1">
        <f t="shared" si="0"/>
        <v>105</v>
      </c>
      <c r="F32" s="1">
        <v>2000</v>
      </c>
      <c r="G32" s="1"/>
      <c r="H32" s="1" t="s">
        <v>67</v>
      </c>
      <c r="I32" s="1"/>
      <c r="J32" s="1"/>
      <c r="K32" s="1" t="s">
        <v>95</v>
      </c>
      <c r="L32" s="1"/>
    </row>
    <row r="33" spans="1:12" ht="20.100000000000001" customHeight="1">
      <c r="A33" s="1" t="s">
        <v>45</v>
      </c>
      <c r="B33" s="1">
        <v>5</v>
      </c>
      <c r="C33" s="1">
        <v>10</v>
      </c>
      <c r="D33" s="1">
        <v>15</v>
      </c>
      <c r="E33" s="1">
        <f t="shared" si="0"/>
        <v>150</v>
      </c>
      <c r="F33" s="1">
        <v>2000</v>
      </c>
      <c r="G33" s="1"/>
      <c r="H33" s="1" t="s">
        <v>67</v>
      </c>
      <c r="I33" s="1"/>
      <c r="J33" s="1"/>
      <c r="K33" s="1" t="s">
        <v>95</v>
      </c>
      <c r="L33" s="1"/>
    </row>
    <row r="34" spans="1:12" ht="20.100000000000001" customHeight="1">
      <c r="A34" s="1" t="s">
        <v>45</v>
      </c>
      <c r="B34" s="1">
        <v>6</v>
      </c>
      <c r="C34" s="1">
        <v>15</v>
      </c>
      <c r="D34" s="1">
        <v>15</v>
      </c>
      <c r="E34" s="1">
        <f t="shared" si="0"/>
        <v>225</v>
      </c>
      <c r="F34" s="1">
        <v>2000</v>
      </c>
      <c r="G34" s="1"/>
      <c r="H34" s="1" t="s">
        <v>67</v>
      </c>
      <c r="I34" s="1"/>
      <c r="J34" s="1"/>
      <c r="K34" s="1" t="s">
        <v>95</v>
      </c>
      <c r="L34" s="1"/>
    </row>
    <row r="35" spans="1:12" ht="20.100000000000001" customHeight="1">
      <c r="A35" s="1" t="s">
        <v>45</v>
      </c>
      <c r="B35" s="1">
        <v>7</v>
      </c>
      <c r="C35" s="1">
        <v>20</v>
      </c>
      <c r="D35" s="1">
        <v>15</v>
      </c>
      <c r="E35" s="1">
        <f t="shared" si="0"/>
        <v>300</v>
      </c>
      <c r="F35" s="1">
        <v>2000</v>
      </c>
      <c r="G35" s="1"/>
      <c r="H35" s="1" t="s">
        <v>67</v>
      </c>
      <c r="I35" s="1"/>
      <c r="J35" s="1"/>
      <c r="K35" s="1" t="s">
        <v>95</v>
      </c>
      <c r="L35" s="1"/>
    </row>
    <row r="36" spans="1:12" ht="20.100000000000001" customHeight="1">
      <c r="A36" s="1" t="s">
        <v>52</v>
      </c>
      <c r="B36" s="1">
        <v>1</v>
      </c>
      <c r="C36" s="1">
        <v>4</v>
      </c>
      <c r="D36" s="1">
        <v>15</v>
      </c>
      <c r="E36" s="1">
        <f t="shared" si="0"/>
        <v>60</v>
      </c>
      <c r="F36" s="1">
        <v>2000</v>
      </c>
      <c r="G36" s="1"/>
      <c r="H36" s="1" t="s">
        <v>67</v>
      </c>
      <c r="I36" s="1"/>
      <c r="J36" s="1"/>
      <c r="K36" s="1" t="s">
        <v>95</v>
      </c>
      <c r="L36" s="1"/>
    </row>
    <row r="37" spans="1:12" ht="20.100000000000001" customHeight="1">
      <c r="A37" s="1" t="s">
        <v>52</v>
      </c>
      <c r="B37" s="1">
        <v>2</v>
      </c>
      <c r="C37" s="1">
        <v>5</v>
      </c>
      <c r="D37" s="1">
        <v>15</v>
      </c>
      <c r="E37" s="1">
        <f t="shared" si="0"/>
        <v>75</v>
      </c>
      <c r="F37" s="1">
        <v>2000</v>
      </c>
      <c r="G37" s="1"/>
      <c r="H37" s="1" t="s">
        <v>67</v>
      </c>
      <c r="I37" s="1"/>
      <c r="J37" s="1"/>
      <c r="K37" s="1" t="s">
        <v>95</v>
      </c>
      <c r="L37" s="1"/>
    </row>
    <row r="38" spans="1:12" ht="20.100000000000001" customHeight="1">
      <c r="A38" s="1" t="s">
        <v>52</v>
      </c>
      <c r="B38" s="1">
        <v>3</v>
      </c>
      <c r="C38" s="1">
        <v>6</v>
      </c>
      <c r="D38" s="1">
        <v>15</v>
      </c>
      <c r="E38" s="1">
        <f t="shared" si="0"/>
        <v>90</v>
      </c>
      <c r="F38" s="1">
        <v>2000</v>
      </c>
      <c r="G38" s="1"/>
      <c r="H38" s="1" t="s">
        <v>67</v>
      </c>
      <c r="I38" s="1"/>
      <c r="J38" s="1"/>
      <c r="K38" s="1" t="s">
        <v>95</v>
      </c>
      <c r="L38" s="1"/>
    </row>
    <row r="39" spans="1:12" ht="20.100000000000001" customHeight="1">
      <c r="A39" s="1" t="s">
        <v>52</v>
      </c>
      <c r="B39" s="1">
        <v>4</v>
      </c>
      <c r="C39" s="1">
        <v>7</v>
      </c>
      <c r="D39" s="1">
        <v>15</v>
      </c>
      <c r="E39" s="1">
        <f t="shared" si="0"/>
        <v>105</v>
      </c>
      <c r="F39" s="1">
        <v>2000</v>
      </c>
      <c r="G39" s="1"/>
      <c r="H39" s="1" t="s">
        <v>67</v>
      </c>
      <c r="I39" s="1"/>
      <c r="J39" s="1"/>
      <c r="K39" s="1" t="s">
        <v>95</v>
      </c>
      <c r="L39" s="1"/>
    </row>
    <row r="40" spans="1:12" ht="20.100000000000001" customHeight="1">
      <c r="A40" s="1" t="s">
        <v>52</v>
      </c>
      <c r="B40" s="1">
        <v>5</v>
      </c>
      <c r="C40" s="1">
        <v>10</v>
      </c>
      <c r="D40" s="1">
        <v>15</v>
      </c>
      <c r="E40" s="1">
        <f t="shared" si="0"/>
        <v>150</v>
      </c>
      <c r="F40" s="1">
        <v>2000</v>
      </c>
      <c r="G40" s="1"/>
      <c r="H40" s="1" t="s">
        <v>67</v>
      </c>
      <c r="I40" s="1"/>
      <c r="J40" s="1"/>
      <c r="K40" s="1" t="s">
        <v>95</v>
      </c>
      <c r="L40" s="1"/>
    </row>
    <row r="41" spans="1:12" ht="20.100000000000001" customHeight="1">
      <c r="A41" s="1" t="s">
        <v>52</v>
      </c>
      <c r="B41" s="1">
        <v>6</v>
      </c>
      <c r="C41" s="1">
        <v>15</v>
      </c>
      <c r="D41" s="1">
        <v>15</v>
      </c>
      <c r="E41" s="1">
        <f t="shared" si="0"/>
        <v>225</v>
      </c>
      <c r="F41" s="1">
        <v>2000</v>
      </c>
      <c r="G41" s="1"/>
      <c r="H41" s="1" t="s">
        <v>67</v>
      </c>
      <c r="I41" s="1"/>
      <c r="J41" s="1"/>
      <c r="K41" s="1" t="s">
        <v>95</v>
      </c>
      <c r="L41" s="1"/>
    </row>
    <row r="42" spans="1:12" ht="20.100000000000001" customHeight="1">
      <c r="A42" s="1" t="s">
        <v>52</v>
      </c>
      <c r="B42" s="1">
        <v>7</v>
      </c>
      <c r="C42" s="1">
        <v>20</v>
      </c>
      <c r="D42" s="1">
        <v>15</v>
      </c>
      <c r="E42" s="1">
        <f t="shared" si="0"/>
        <v>300</v>
      </c>
      <c r="F42" s="1">
        <v>2000</v>
      </c>
      <c r="G42" s="1"/>
      <c r="H42" s="1" t="s">
        <v>67</v>
      </c>
      <c r="I42" s="1"/>
      <c r="J42" s="1"/>
      <c r="K42" s="1" t="s">
        <v>95</v>
      </c>
      <c r="L42" s="1"/>
    </row>
    <row r="43" spans="1:12" ht="20.100000000000001" customHeight="1"/>
    <row r="44" spans="1:12" ht="20.100000000000001" customHeight="1"/>
    <row r="45" spans="1:12" ht="20.100000000000001" customHeight="1">
      <c r="A45" s="2" t="s">
        <v>73</v>
      </c>
      <c r="B45" s="2" t="s">
        <v>110</v>
      </c>
      <c r="C45" s="2" t="s">
        <v>111</v>
      </c>
      <c r="D45" s="2" t="s">
        <v>112</v>
      </c>
      <c r="E45" s="2" t="s">
        <v>87</v>
      </c>
      <c r="F45" s="2" t="s">
        <v>86</v>
      </c>
      <c r="G45" s="2" t="s">
        <v>113</v>
      </c>
      <c r="H45" s="2" t="s">
        <v>114</v>
      </c>
      <c r="I45" s="2" t="s">
        <v>91</v>
      </c>
      <c r="J45" s="2" t="s">
        <v>92</v>
      </c>
    </row>
    <row r="46" spans="1:12" ht="20.100000000000001" customHeight="1">
      <c r="A46" s="1" t="s">
        <v>45</v>
      </c>
      <c r="B46" s="1" t="s">
        <v>115</v>
      </c>
      <c r="C46" s="1" t="s">
        <v>116</v>
      </c>
      <c r="D46" s="1"/>
      <c r="E46" s="1"/>
      <c r="F46" s="1"/>
      <c r="G46" s="1" t="s">
        <v>67</v>
      </c>
      <c r="H46" s="1" t="s">
        <v>67</v>
      </c>
      <c r="I46" s="1" t="s">
        <v>95</v>
      </c>
      <c r="J46" s="1"/>
    </row>
    <row r="47" spans="1:12" ht="20.100000000000001" customHeight="1">
      <c r="A47" s="1" t="s">
        <v>45</v>
      </c>
      <c r="B47" s="1" t="s">
        <v>117</v>
      </c>
      <c r="C47" s="1" t="s">
        <v>118</v>
      </c>
      <c r="D47" s="1"/>
      <c r="E47" s="1"/>
      <c r="F47" s="1"/>
      <c r="G47" s="1" t="s">
        <v>67</v>
      </c>
      <c r="H47" s="1" t="s">
        <v>67</v>
      </c>
      <c r="I47" s="1" t="s">
        <v>95</v>
      </c>
      <c r="J47" s="1"/>
    </row>
    <row r="48" spans="1:12" ht="20.100000000000001" customHeight="1">
      <c r="A48" s="1" t="s">
        <v>45</v>
      </c>
      <c r="B48" s="1" t="s">
        <v>119</v>
      </c>
      <c r="C48" s="1" t="s">
        <v>120</v>
      </c>
      <c r="D48" s="1"/>
      <c r="E48" s="1"/>
      <c r="F48" s="1"/>
      <c r="G48" s="1" t="s">
        <v>67</v>
      </c>
      <c r="H48" s="1" t="s">
        <v>67</v>
      </c>
      <c r="I48" s="1" t="s">
        <v>95</v>
      </c>
      <c r="J48" s="1"/>
    </row>
    <row r="49" spans="1:10" ht="20.100000000000001" customHeight="1">
      <c r="A49" s="1" t="s">
        <v>45</v>
      </c>
      <c r="B49" s="1" t="s">
        <v>121</v>
      </c>
      <c r="C49" s="1" t="s">
        <v>122</v>
      </c>
      <c r="D49" s="1"/>
      <c r="E49" s="1"/>
      <c r="F49" s="1"/>
      <c r="G49" s="1" t="s">
        <v>67</v>
      </c>
      <c r="H49" s="1" t="s">
        <v>67</v>
      </c>
      <c r="I49" s="1" t="s">
        <v>95</v>
      </c>
      <c r="J49" s="1"/>
    </row>
    <row r="50" spans="1:10" ht="20.100000000000001" customHeight="1">
      <c r="A50" s="1" t="s">
        <v>45</v>
      </c>
      <c r="B50" s="1" t="s">
        <v>123</v>
      </c>
      <c r="C50" s="1" t="s">
        <v>124</v>
      </c>
      <c r="D50" s="1"/>
      <c r="E50" s="1"/>
      <c r="F50" s="1"/>
      <c r="G50" s="1" t="s">
        <v>67</v>
      </c>
      <c r="H50" s="1" t="s">
        <v>67</v>
      </c>
      <c r="I50" s="1" t="s">
        <v>95</v>
      </c>
      <c r="J50" s="1"/>
    </row>
    <row r="51" spans="1:10" ht="20.100000000000001" customHeight="1">
      <c r="A51" s="1" t="s">
        <v>52</v>
      </c>
      <c r="B51" s="1" t="s">
        <v>115</v>
      </c>
      <c r="C51" s="1" t="s">
        <v>116</v>
      </c>
      <c r="D51" s="1"/>
      <c r="E51" s="1"/>
      <c r="F51" s="1"/>
      <c r="G51" s="1" t="s">
        <v>67</v>
      </c>
      <c r="H51" s="1" t="s">
        <v>67</v>
      </c>
      <c r="I51" s="1" t="s">
        <v>95</v>
      </c>
      <c r="J51" s="1"/>
    </row>
    <row r="52" spans="1:10" ht="20.100000000000001" customHeight="1">
      <c r="A52" s="1" t="s">
        <v>52</v>
      </c>
      <c r="B52" s="1" t="s">
        <v>117</v>
      </c>
      <c r="C52" s="1" t="s">
        <v>118</v>
      </c>
      <c r="D52" s="1"/>
      <c r="E52" s="1"/>
      <c r="F52" s="1"/>
      <c r="G52" s="1" t="s">
        <v>67</v>
      </c>
      <c r="H52" s="1" t="s">
        <v>67</v>
      </c>
      <c r="I52" s="1" t="s">
        <v>95</v>
      </c>
      <c r="J52" s="1"/>
    </row>
    <row r="53" spans="1:10" ht="20.100000000000001" customHeight="1">
      <c r="A53" s="1" t="s">
        <v>52</v>
      </c>
      <c r="B53" s="1" t="s">
        <v>119</v>
      </c>
      <c r="C53" s="1" t="s">
        <v>120</v>
      </c>
      <c r="D53" s="1"/>
      <c r="E53" s="1"/>
      <c r="F53" s="1"/>
      <c r="G53" s="1" t="s">
        <v>67</v>
      </c>
      <c r="H53" s="1" t="s">
        <v>67</v>
      </c>
      <c r="I53" s="1" t="s">
        <v>95</v>
      </c>
      <c r="J53" s="1"/>
    </row>
    <row r="54" spans="1:10" ht="20.100000000000001" customHeight="1">
      <c r="A54" s="1" t="s">
        <v>52</v>
      </c>
      <c r="B54" s="1" t="s">
        <v>121</v>
      </c>
      <c r="C54" s="1" t="s">
        <v>122</v>
      </c>
      <c r="D54" s="1"/>
      <c r="E54" s="1"/>
      <c r="F54" s="1"/>
      <c r="G54" s="1" t="s">
        <v>67</v>
      </c>
      <c r="H54" s="1" t="s">
        <v>67</v>
      </c>
      <c r="I54" s="1" t="s">
        <v>95</v>
      </c>
      <c r="J54" s="1"/>
    </row>
    <row r="55" spans="1:10" ht="20.100000000000001" customHeight="1">
      <c r="A55" s="1" t="s">
        <v>52</v>
      </c>
      <c r="B55" s="1" t="s">
        <v>123</v>
      </c>
      <c r="C55" s="1" t="s">
        <v>124</v>
      </c>
      <c r="D55" s="1"/>
      <c r="E55" s="1"/>
      <c r="F55" s="1"/>
      <c r="G55" s="1" t="s">
        <v>67</v>
      </c>
      <c r="H55" s="1" t="s">
        <v>67</v>
      </c>
      <c r="I55" s="1" t="s">
        <v>95</v>
      </c>
      <c r="J55" s="1"/>
    </row>
    <row r="56" spans="1:10" ht="20.100000000000001" customHeight="1"/>
    <row r="57" spans="1:10" ht="20.100000000000001" customHeight="1"/>
    <row r="58" spans="1:10" ht="20.100000000000001" customHeight="1">
      <c r="A58" s="2" t="s">
        <v>73</v>
      </c>
      <c r="B58" s="2" t="s">
        <v>125</v>
      </c>
      <c r="C58" s="2" t="s">
        <v>126</v>
      </c>
      <c r="D58" s="2" t="s">
        <v>127</v>
      </c>
      <c r="E58" s="2" t="s">
        <v>128</v>
      </c>
      <c r="F58" s="2" t="s">
        <v>129</v>
      </c>
      <c r="G58" s="2" t="s">
        <v>130</v>
      </c>
      <c r="H58" s="2" t="s">
        <v>131</v>
      </c>
      <c r="I58" s="2" t="s">
        <v>91</v>
      </c>
      <c r="J58" s="2" t="s">
        <v>92</v>
      </c>
    </row>
    <row r="59" spans="1:10" ht="20.100000000000001" customHeight="1">
      <c r="A59" s="1" t="s">
        <v>45</v>
      </c>
      <c r="B59" s="1" t="s">
        <v>132</v>
      </c>
      <c r="C59" s="1" t="s">
        <v>133</v>
      </c>
      <c r="D59" s="1"/>
      <c r="E59" s="1"/>
      <c r="F59" s="1"/>
      <c r="G59" s="1" t="s">
        <v>67</v>
      </c>
      <c r="H59" s="1" t="s">
        <v>134</v>
      </c>
      <c r="I59" s="1" t="s">
        <v>95</v>
      </c>
      <c r="J59" s="1"/>
    </row>
    <row r="60" spans="1:10" ht="20.100000000000001" customHeight="1">
      <c r="A60" s="1" t="s">
        <v>45</v>
      </c>
      <c r="B60" s="1" t="s">
        <v>135</v>
      </c>
      <c r="C60" s="1" t="s">
        <v>124</v>
      </c>
      <c r="D60" s="1"/>
      <c r="E60" s="1"/>
      <c r="F60" s="1"/>
      <c r="G60" s="1" t="s">
        <v>67</v>
      </c>
      <c r="H60" s="1" t="s">
        <v>134</v>
      </c>
      <c r="I60" s="1" t="s">
        <v>95</v>
      </c>
      <c r="J60" s="1"/>
    </row>
    <row r="61" spans="1:10" ht="20.100000000000001" customHeight="1">
      <c r="A61" s="1" t="s">
        <v>45</v>
      </c>
      <c r="B61" s="1" t="s">
        <v>136</v>
      </c>
      <c r="C61" s="1" t="s">
        <v>124</v>
      </c>
      <c r="D61" s="1"/>
      <c r="E61" s="1"/>
      <c r="F61" s="1"/>
      <c r="G61" s="1" t="s">
        <v>67</v>
      </c>
      <c r="H61" s="1" t="s">
        <v>134</v>
      </c>
      <c r="I61" s="1" t="s">
        <v>95</v>
      </c>
      <c r="J61" s="1"/>
    </row>
    <row r="62" spans="1:10" ht="20.100000000000001" customHeight="1">
      <c r="A62" s="1" t="s">
        <v>45</v>
      </c>
      <c r="B62" s="1" t="s">
        <v>137</v>
      </c>
      <c r="C62" s="1" t="s">
        <v>124</v>
      </c>
      <c r="D62" s="1"/>
      <c r="E62" s="1"/>
      <c r="F62" s="1"/>
      <c r="G62" s="1" t="s">
        <v>67</v>
      </c>
      <c r="H62" s="1" t="s">
        <v>134</v>
      </c>
      <c r="I62" s="1" t="s">
        <v>95</v>
      </c>
      <c r="J62" s="1"/>
    </row>
    <row r="63" spans="1:10" ht="20.100000000000001" customHeight="1">
      <c r="A63" s="1" t="s">
        <v>45</v>
      </c>
      <c r="B63" s="1" t="s">
        <v>138</v>
      </c>
      <c r="C63" s="1" t="s">
        <v>124</v>
      </c>
      <c r="D63" s="1"/>
      <c r="E63" s="1"/>
      <c r="F63" s="1"/>
      <c r="G63" s="1" t="s">
        <v>67</v>
      </c>
      <c r="H63" s="1" t="s">
        <v>134</v>
      </c>
      <c r="I63" s="1" t="s">
        <v>95</v>
      </c>
      <c r="J63" s="1"/>
    </row>
    <row r="64" spans="1:10" ht="20.100000000000001" customHeight="1">
      <c r="A64" s="1" t="s">
        <v>52</v>
      </c>
      <c r="B64" s="1" t="s">
        <v>132</v>
      </c>
      <c r="C64" s="1" t="s">
        <v>133</v>
      </c>
      <c r="D64" s="1"/>
      <c r="E64" s="1"/>
      <c r="F64" s="1"/>
      <c r="G64" s="1" t="s">
        <v>67</v>
      </c>
      <c r="H64" s="1" t="s">
        <v>134</v>
      </c>
      <c r="I64" s="1" t="s">
        <v>95</v>
      </c>
      <c r="J64" s="1"/>
    </row>
    <row r="65" spans="1:10" ht="20.100000000000001" customHeight="1">
      <c r="A65" s="1" t="s">
        <v>52</v>
      </c>
      <c r="B65" s="1" t="s">
        <v>135</v>
      </c>
      <c r="C65" s="1" t="s">
        <v>124</v>
      </c>
      <c r="D65" s="1"/>
      <c r="E65" s="1"/>
      <c r="F65" s="1"/>
      <c r="G65" s="1" t="s">
        <v>67</v>
      </c>
      <c r="H65" s="1" t="s">
        <v>134</v>
      </c>
      <c r="I65" s="1" t="s">
        <v>95</v>
      </c>
      <c r="J65" s="1"/>
    </row>
    <row r="66" spans="1:10" ht="20.100000000000001" customHeight="1">
      <c r="A66" s="1" t="s">
        <v>52</v>
      </c>
      <c r="B66" s="1" t="s">
        <v>136</v>
      </c>
      <c r="C66" s="1" t="s">
        <v>124</v>
      </c>
      <c r="D66" s="1"/>
      <c r="E66" s="1"/>
      <c r="F66" s="1"/>
      <c r="G66" s="1" t="s">
        <v>67</v>
      </c>
      <c r="H66" s="1" t="s">
        <v>134</v>
      </c>
      <c r="I66" s="1" t="s">
        <v>95</v>
      </c>
      <c r="J66" s="1"/>
    </row>
    <row r="67" spans="1:10" ht="20.100000000000001" customHeight="1">
      <c r="A67" s="1" t="s">
        <v>52</v>
      </c>
      <c r="B67" s="1" t="s">
        <v>137</v>
      </c>
      <c r="C67" s="1" t="s">
        <v>124</v>
      </c>
      <c r="D67" s="1"/>
      <c r="E67" s="1"/>
      <c r="F67" s="1"/>
      <c r="G67" s="1" t="s">
        <v>67</v>
      </c>
      <c r="H67" s="1" t="s">
        <v>134</v>
      </c>
      <c r="I67" s="1" t="s">
        <v>95</v>
      </c>
      <c r="J67" s="1"/>
    </row>
    <row r="68" spans="1:10" ht="20.100000000000001" customHeight="1">
      <c r="A68" s="1" t="s">
        <v>52</v>
      </c>
      <c r="B68" s="1" t="s">
        <v>138</v>
      </c>
      <c r="C68" s="1" t="s">
        <v>124</v>
      </c>
      <c r="D68" s="1"/>
      <c r="E68" s="1"/>
      <c r="F68" s="1"/>
      <c r="G68" s="1" t="s">
        <v>67</v>
      </c>
      <c r="H68" s="1" t="s">
        <v>134</v>
      </c>
      <c r="I68" s="1" t="s">
        <v>95</v>
      </c>
      <c r="J68" s="1"/>
    </row>
    <row r="69" spans="1:10" ht="20.100000000000001" customHeight="1"/>
    <row r="70" spans="1:10" ht="20.100000000000001" customHeight="1"/>
    <row r="71" spans="1:10" ht="20.100000000000001" customHeight="1">
      <c r="A71" s="2" t="s">
        <v>73</v>
      </c>
      <c r="B71" s="2" t="s">
        <v>139</v>
      </c>
      <c r="C71" s="2" t="s">
        <v>140</v>
      </c>
      <c r="D71" s="2" t="s">
        <v>141</v>
      </c>
      <c r="E71" s="2" t="s">
        <v>142</v>
      </c>
      <c r="F71" s="2" t="s">
        <v>143</v>
      </c>
      <c r="G71" s="2" t="s">
        <v>144</v>
      </c>
      <c r="H71" s="2" t="s">
        <v>145</v>
      </c>
      <c r="I71" s="2" t="s">
        <v>146</v>
      </c>
      <c r="J71" s="2" t="s">
        <v>147</v>
      </c>
    </row>
    <row r="72" spans="1:10" ht="20.100000000000001" customHeight="1">
      <c r="A72" s="1" t="s">
        <v>45</v>
      </c>
      <c r="B72" s="1"/>
      <c r="C72" s="1"/>
      <c r="D72" s="1"/>
      <c r="E72" s="1"/>
      <c r="F72" s="1"/>
      <c r="G72" s="1"/>
      <c r="H72" s="1"/>
      <c r="I72" s="1"/>
      <c r="J72" s="1"/>
    </row>
    <row r="73" spans="1:10" ht="20.100000000000001" customHeight="1">
      <c r="A73" s="1" t="s">
        <v>52</v>
      </c>
      <c r="B73" s="1"/>
      <c r="C73" s="1"/>
      <c r="D73" s="1"/>
      <c r="E73" s="1"/>
      <c r="F73" s="1"/>
      <c r="G73" s="1"/>
      <c r="H73" s="1"/>
      <c r="I73" s="1"/>
      <c r="J73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测试汇总</vt:lpstr>
      <vt:lpstr>待测产品测试表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</dc:creator>
  <cp:lastModifiedBy>baocheng long</cp:lastModifiedBy>
  <dcterms:created xsi:type="dcterms:W3CDTF">2026-07-06T01:53:11Z</dcterms:created>
  <dcterms:modified xsi:type="dcterms:W3CDTF">2026-07-06T01:53:11Z</dcterms:modified>
</cp:coreProperties>
</file>